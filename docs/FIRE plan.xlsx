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fic" sheetId="1" r:id="rId4"/>
    <sheet state="visible" name="Plan retragere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cea mai lunga criza a durat intre 18 si 20 de luni si atunci un fond de 24 de luni acopera orice criza</t>
      </text>
    </comment>
  </commentList>
</comments>
</file>

<file path=xl/sharedStrings.xml><?xml version="1.0" encoding="utf-8"?>
<sst xmlns="http://schemas.openxmlformats.org/spreadsheetml/2006/main" count="43" uniqueCount="42">
  <si>
    <t>La nivel National</t>
  </si>
  <si>
    <t>Barbati</t>
  </si>
  <si>
    <t>Femei</t>
  </si>
  <si>
    <t>Varsta medie de pensionare</t>
  </si>
  <si>
    <t>Speranta de viata (2025)</t>
  </si>
  <si>
    <t>Ani de pensionare</t>
  </si>
  <si>
    <t>Mihai</t>
  </si>
  <si>
    <t>Speranta de viata a ta</t>
  </si>
  <si>
    <t>Varsta la care sa te retragi</t>
  </si>
  <si>
    <t>Varsta ta actuala</t>
  </si>
  <si>
    <t>Ani de acumulare pana la retragere</t>
  </si>
  <si>
    <t>fara investitii</t>
  </si>
  <si>
    <t>cu investitii (timp)</t>
  </si>
  <si>
    <t>De cat cred eu ca am nevoie lunar la retragere pentru a trai?</t>
  </si>
  <si>
    <t>Scenariu</t>
  </si>
  <si>
    <t xml:space="preserve">Venit </t>
  </si>
  <si>
    <t>Cheltuieli</t>
  </si>
  <si>
    <t>Economii</t>
  </si>
  <si>
    <t>Rata economisire</t>
  </si>
  <si>
    <t>Timp (luni)</t>
  </si>
  <si>
    <t>Nr Luni</t>
  </si>
  <si>
    <t>Ani</t>
  </si>
  <si>
    <t>Buget lunar necesar</t>
  </si>
  <si>
    <t>Din care:</t>
  </si>
  <si>
    <t>Pilon 1 pensie</t>
  </si>
  <si>
    <t>Pilon 2 pensie</t>
  </si>
  <si>
    <t>Pilon 3 pensie</t>
  </si>
  <si>
    <t>Suma de economisit pt venitul din investitii dorit</t>
  </si>
  <si>
    <t>Investitii</t>
  </si>
  <si>
    <t>Suma dorita lunar</t>
  </si>
  <si>
    <t>Total</t>
  </si>
  <si>
    <t>Suma necesara RON</t>
  </si>
  <si>
    <t>pentru a imi sustine venitul pasiv la randamentul real</t>
  </si>
  <si>
    <t>Ar trebui sa am puse 20 luni de trai deoparte</t>
  </si>
  <si>
    <t>Suma necesara EUR</t>
  </si>
  <si>
    <t>Nr luni</t>
  </si>
  <si>
    <t>RON/EUR</t>
  </si>
  <si>
    <t>Depozite/tilturi</t>
  </si>
  <si>
    <t xml:space="preserve">Cu ce stiu acum pot investi la: </t>
  </si>
  <si>
    <t>Randament</t>
  </si>
  <si>
    <t>Inflatie</t>
  </si>
  <si>
    <t>Randament 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</si>
</sst>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ON]\ #,##0"/>
    <numFmt numFmtId="165" formatCode="_-* #,##0_-;\-* #,##0_-;_-* &quot;-&quot;??_-;_-@"/>
    <numFmt numFmtId="166" formatCode="_-* #,##0.0_-;\-* #,##0.0_-;_-* &quot;-&quot;??_-;_-@"/>
    <numFmt numFmtId="167" formatCode="[$€]#,##0"/>
    <numFmt numFmtId="168" formatCode="_-* #,##0.00_-;\-* #,##0.00_-;_-* &quot;-&quot;??_-;_-@"/>
  </numFmts>
  <fonts count="6">
    <font>
      <sz val="12.0"/>
      <color/>
      <name val="Arial"/>
      <scheme val="minor"/>
    </font>
    <font>
      <b/>
      <sz val="12.0"/>
      <color/>
      <name val="Calibri"/>
    </font>
    <font>
      <sz val="12.0"/>
      <color/>
      <name val="Calibri"/>
    </font>
    <font/>
    <font>
      <b/>
      <i/>
      <sz val="12.0"/>
      <color/>
      <name val="Calibri"/>
    </font>
    <font>
      <i/>
      <sz val="10.0"/>
      <color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rgb="FFFFC000"/>
      </patternFill>
    </fill>
  </fills>
  <borders count="3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</border>
    <border>
      <left/>
      <right/>
      <top/>
      <bottom/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0" fillId="0" fontId="2" numFmtId="0" xfId="0" applyFont="1"/>
    <xf borderId="10" fillId="3" fontId="1" numFmtId="0" xfId="0" applyAlignment="1" applyBorder="1" applyFill="1" applyFont="1">
      <alignment horizontal="center"/>
    </xf>
    <xf borderId="1" fillId="0" fontId="2" numFmtId="0" xfId="0" applyBorder="1" applyFont="1"/>
    <xf borderId="3" fillId="3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4" fontId="2" numFmtId="0" xfId="0" applyAlignment="1" applyBorder="1" applyFill="1" applyFont="1">
      <alignment vertical="center"/>
    </xf>
    <xf borderId="11" fillId="5" fontId="2" numFmtId="0" xfId="0" applyAlignment="1" applyBorder="1" applyFill="1" applyFont="1">
      <alignment horizontal="center" vertical="center"/>
    </xf>
    <xf borderId="12" fillId="0" fontId="3" numFmtId="0" xfId="0" applyBorder="1" applyFont="1"/>
    <xf borderId="13" fillId="0" fontId="1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" fillId="0" fontId="1" numFmtId="0" xfId="0" applyAlignment="1" applyBorder="1" applyFont="1">
      <alignment vertical="center"/>
    </xf>
    <xf borderId="2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shrinkToFit="0" vertical="center" wrapText="1"/>
    </xf>
    <xf borderId="16" fillId="4" fontId="2" numFmtId="0" xfId="0" applyAlignment="1" applyBorder="1" applyFont="1">
      <alignment vertical="center"/>
    </xf>
    <xf borderId="5" fillId="5" fontId="2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164" xfId="0" applyBorder="1" applyFont="1" applyNumberFormat="1"/>
    <xf borderId="19" fillId="0" fontId="2" numFmtId="0" xfId="0" applyBorder="1" applyFont="1"/>
    <xf borderId="4" fillId="0" fontId="2" numFmtId="0" xfId="0" applyAlignment="1" applyBorder="1" applyFont="1">
      <alignment horizontal="center"/>
    </xf>
    <xf borderId="6" fillId="0" fontId="2" numFmtId="164" xfId="0" applyBorder="1" applyFont="1" applyNumberFormat="1"/>
    <xf borderId="16" fillId="0" fontId="2" numFmtId="164" xfId="0" applyBorder="1" applyFont="1" applyNumberFormat="1"/>
    <xf borderId="16" fillId="0" fontId="2" numFmtId="164" xfId="0" applyBorder="1" applyFont="1" applyNumberFormat="1"/>
    <xf borderId="20" fillId="0" fontId="2" numFmtId="9" xfId="0" applyAlignment="1" applyBorder="1" applyFont="1" applyNumberFormat="1">
      <alignment horizontal="center"/>
    </xf>
    <xf borderId="16" fillId="4" fontId="2" numFmtId="165" xfId="0" applyAlignment="1" applyBorder="1" applyFont="1" applyNumberFormat="1">
      <alignment vertical="center"/>
    </xf>
    <xf borderId="5" fillId="5" fontId="2" numFmtId="165" xfId="0" applyAlignment="1" applyBorder="1" applyFont="1" applyNumberFormat="1">
      <alignment horizontal="center" vertical="center"/>
    </xf>
    <xf borderId="5" fillId="5" fontId="2" numFmtId="166" xfId="0" applyAlignment="1" applyBorder="1" applyFont="1" applyNumberFormat="1">
      <alignment horizontal="center" vertical="center"/>
    </xf>
    <xf borderId="6" fillId="6" fontId="2" numFmtId="164" xfId="0" applyBorder="1" applyFill="1" applyFont="1" applyNumberFormat="1"/>
    <xf borderId="16" fillId="6" fontId="2" numFmtId="164" xfId="0" applyBorder="1" applyFont="1" applyNumberFormat="1"/>
    <xf borderId="13" fillId="0" fontId="1" numFmtId="0" xfId="0" applyBorder="1" applyFont="1"/>
    <xf borderId="14" fillId="0" fontId="2" numFmtId="0" xfId="0" applyBorder="1" applyFont="1"/>
    <xf borderId="15" fillId="0" fontId="2" numFmtId="0" xfId="0" applyBorder="1" applyFont="1"/>
    <xf borderId="7" fillId="0" fontId="2" numFmtId="0" xfId="0" applyAlignment="1" applyBorder="1" applyFont="1">
      <alignment horizontal="center"/>
    </xf>
    <xf borderId="9" fillId="6" fontId="2" numFmtId="164" xfId="0" applyBorder="1" applyFont="1" applyNumberFormat="1"/>
    <xf borderId="21" fillId="6" fontId="2" numFmtId="164" xfId="0" applyBorder="1" applyFont="1" applyNumberFormat="1"/>
    <xf borderId="22" fillId="0" fontId="2" numFmtId="164" xfId="0" applyBorder="1" applyFont="1" applyNumberFormat="1"/>
    <xf borderId="23" fillId="0" fontId="2" numFmtId="9" xfId="0" applyAlignment="1" applyBorder="1" applyFont="1" applyNumberFormat="1">
      <alignment horizontal="center"/>
    </xf>
    <xf borderId="21" fillId="4" fontId="2" numFmtId="165" xfId="0" applyAlignment="1" applyBorder="1" applyFont="1" applyNumberFormat="1">
      <alignment vertical="center"/>
    </xf>
    <xf borderId="5" fillId="0" fontId="2" numFmtId="9" xfId="0" applyBorder="1" applyFont="1" applyNumberFormat="1"/>
    <xf borderId="6" fillId="0" fontId="2" numFmtId="165" xfId="0" applyBorder="1" applyFont="1" applyNumberFormat="1"/>
    <xf borderId="0" fillId="0" fontId="2" numFmtId="167" xfId="0" applyFont="1" applyNumberFormat="1"/>
    <xf borderId="14" fillId="0" fontId="2" numFmtId="167" xfId="0" applyBorder="1" applyFont="1" applyNumberFormat="1"/>
    <xf borderId="0" fillId="0" fontId="2" numFmtId="9" xfId="0" applyFont="1" applyNumberFormat="1"/>
    <xf borderId="0" fillId="0" fontId="2" numFmtId="165" xfId="0" applyFont="1" applyNumberFormat="1"/>
    <xf borderId="0" fillId="0" fontId="2" numFmtId="168" xfId="0" applyFont="1" applyNumberFormat="1"/>
    <xf borderId="13" fillId="0" fontId="1" numFmtId="0" xfId="0" applyAlignment="1" applyBorder="1" applyFont="1">
      <alignment horizontal="center" shrinkToFit="0" wrapText="1"/>
    </xf>
    <xf borderId="0" fillId="0" fontId="1" numFmtId="0" xfId="0" applyFont="1"/>
    <xf borderId="24" fillId="0" fontId="2" numFmtId="0" xfId="0" applyBorder="1" applyFont="1"/>
    <xf borderId="25" fillId="0" fontId="2" numFmtId="164" xfId="0" applyAlignment="1" applyBorder="1" applyFont="1" applyNumberFormat="1">
      <alignment horizontal="center"/>
    </xf>
    <xf borderId="26" fillId="0" fontId="2" numFmtId="9" xfId="0" applyBorder="1" applyFont="1" applyNumberFormat="1"/>
    <xf borderId="19" fillId="0" fontId="2" numFmtId="165" xfId="0" applyBorder="1" applyFont="1" applyNumberFormat="1"/>
    <xf borderId="19" fillId="0" fontId="2" numFmtId="164" xfId="0" applyAlignment="1" applyBorder="1" applyFont="1" applyNumberFormat="1">
      <alignment horizontal="center"/>
    </xf>
    <xf borderId="0" fillId="0" fontId="5" numFmtId="0" xfId="0" applyFont="1"/>
    <xf borderId="0" fillId="0" fontId="2" numFmtId="0" xfId="0" applyAlignment="1" applyFont="1">
      <alignment horizontal="center"/>
    </xf>
    <xf borderId="13" fillId="0" fontId="1" numFmtId="0" xfId="0" applyAlignment="1" applyBorder="1" applyFont="1">
      <alignment horizontal="center"/>
    </xf>
    <xf borderId="13" fillId="0" fontId="2" numFmtId="0" xfId="0" applyBorder="1" applyFont="1"/>
    <xf borderId="3" fillId="0" fontId="2" numFmtId="167" xfId="0" applyAlignment="1" applyBorder="1" applyFont="1" applyNumberFormat="1">
      <alignment horizontal="center"/>
    </xf>
    <xf borderId="27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vertical="center"/>
    </xf>
    <xf borderId="29" fillId="0" fontId="2" numFmtId="164" xfId="0" applyAlignment="1" applyBorder="1" applyFont="1" applyNumberFormat="1">
      <alignment horizontal="center" vertical="center"/>
    </xf>
    <xf borderId="30" fillId="0" fontId="2" numFmtId="2" xfId="0" applyAlignment="1" applyBorder="1" applyFont="1" applyNumberFormat="1">
      <alignment horizontal="center"/>
    </xf>
    <xf borderId="17" fillId="0" fontId="2" numFmtId="0" xfId="0" applyAlignment="1" applyBorder="1" applyFont="1">
      <alignment horizontal="center" vertical="center"/>
    </xf>
    <xf borderId="26" fillId="0" fontId="2" numFmtId="9" xfId="0" applyAlignment="1" applyBorder="1" applyFont="1" applyNumberFormat="1">
      <alignment horizontal="center" vertical="center"/>
    </xf>
    <xf borderId="19" fillId="0" fontId="2" numFmtId="164" xfId="0" applyAlignment="1" applyBorder="1" applyFont="1" applyNumberFormat="1">
      <alignment horizontal="center" vertical="center"/>
    </xf>
    <xf borderId="27" fillId="0" fontId="2" numFmtId="0" xfId="0" applyBorder="1" applyFont="1"/>
    <xf borderId="31" fillId="0" fontId="2" numFmtId="9" xfId="0" applyBorder="1" applyFont="1" applyNumberFormat="1"/>
    <xf borderId="32" fillId="0" fontId="2" numFmtId="0" xfId="0" applyBorder="1" applyFont="1"/>
    <xf borderId="33" fillId="0" fontId="2" numFmtId="9" xfId="0" applyBorder="1" applyFont="1" applyNumberFormat="1"/>
    <xf borderId="19" fillId="0" fontId="2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1</xdr:row>
      <xdr:rowOff>57150</xdr:rowOff>
    </xdr:from>
    <xdr:ext cx="266700" cy="257175"/>
    <xdr:sp macro="" textlink="">
      <xdr:nvSpPr>
        <xdr:cNvPr id="3" name="Rectangle: Rounded Corners 2">
          <a:extLst>
            <a:ext uri="{FF2B5EF4-FFF2-40B4-BE49-F238E27FC236}"/>
          </a:extLst>
        </xdr:cNvPr>
        <xdr:cNvSpPr/>
      </xdr:nvSpPr>
      <xdr:spPr>
        <a:xfrm>
          <a:off x="163286" y="254000"/>
          <a:ext cx="263071" cy="263072"/>
        </a:xfrm>
        <a:prstGeom prst="roundRect">
          <a:avLst/>
        </a:prstGeom>
        <a:solidFill>
          <a:schemeClr val="dk1"/>
        </a:solidFill>
        <a:ln cap="flat" cmpd="sng" w="12700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r>
            <a:rPr b="1" lang="en-US" sz="1200"/>
            <a:t>1</a:t>
          </a:r>
        </a:p>
      </xdr:txBody>
    </xdr:sp>
    <xdr:clientData fLocksWithSheet="0"/>
  </xdr:oneCellAnchor>
  <xdr:oneCellAnchor>
    <xdr:from>
      <xdr:col>0</xdr:col>
      <xdr:colOff>104775</xdr:colOff>
      <xdr:row>3</xdr:row>
      <xdr:rowOff>190500</xdr:rowOff>
    </xdr:from>
    <xdr:ext cx="266700" cy="266700"/>
    <xdr:sp macro="" textlink="">
      <xdr:nvSpPr>
        <xdr:cNvPr id="4" name="Rectangle: Rounded Corners 3">
          <a:extLst>
            <a:ext uri="{FF2B5EF4-FFF2-40B4-BE49-F238E27FC236}"/>
          </a:extLst>
        </xdr:cNvPr>
        <xdr:cNvSpPr/>
      </xdr:nvSpPr>
      <xdr:spPr>
        <a:xfrm>
          <a:off x="107043" y="1005114"/>
          <a:ext cx="263071" cy="263072"/>
        </a:xfrm>
        <a:prstGeom prst="roundRect">
          <a:avLst/>
        </a:prstGeom>
        <a:solidFill>
          <a:schemeClr val="dk1"/>
        </a:solidFill>
        <a:ln cap="flat" cmpd="sng" w="12700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r>
            <a:rPr b="1" lang="en-US" sz="1200"/>
            <a:t>2</a:t>
          </a:r>
        </a:p>
      </xdr:txBody>
    </xdr:sp>
    <xdr:clientData fLocksWithSheet="0"/>
  </xdr:oneCellAnchor>
  <xdr:oneCellAnchor>
    <xdr:from>
      <xdr:col>0</xdr:col>
      <xdr:colOff>85725</xdr:colOff>
      <xdr:row>10</xdr:row>
      <xdr:rowOff>152400</xdr:rowOff>
    </xdr:from>
    <xdr:ext cx="266700" cy="257175"/>
    <xdr:sp macro="" textlink="">
      <xdr:nvSpPr>
        <xdr:cNvPr id="5" name="Rectangle: Rounded Corners 4">
          <a:extLst>
            <a:ext uri="{FF2B5EF4-FFF2-40B4-BE49-F238E27FC236}"/>
          </a:extLst>
        </xdr:cNvPr>
        <xdr:cNvSpPr/>
      </xdr:nvSpPr>
      <xdr:spPr>
        <a:xfrm>
          <a:off x="87086" y="2364014"/>
          <a:ext cx="263071" cy="263072"/>
        </a:xfrm>
        <a:prstGeom prst="roundRect">
          <a:avLst/>
        </a:prstGeom>
        <a:solidFill>
          <a:schemeClr val="dk1"/>
        </a:solidFill>
        <a:ln cap="flat" cmpd="sng" w="12700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r>
            <a:rPr b="1" lang="en-US" sz="1200"/>
            <a:t>3</a:t>
          </a:r>
        </a:p>
      </xdr:txBody>
    </xdr:sp>
    <xdr:clientData fLocksWithSheet="0"/>
  </xdr:oneCellAnchor>
  <xdr:oneCellAnchor>
    <xdr:from>
      <xdr:col>0</xdr:col>
      <xdr:colOff>76200</xdr:colOff>
      <xdr:row>15</xdr:row>
      <xdr:rowOff>114300</xdr:rowOff>
    </xdr:from>
    <xdr:ext cx="266700" cy="257175"/>
    <xdr:sp macro="" textlink="">
      <xdr:nvSpPr>
        <xdr:cNvPr id="6" name="Rectangle: Rounded Corners 5">
          <a:extLst>
            <a:ext uri="{FF2B5EF4-FFF2-40B4-BE49-F238E27FC236}"/>
          </a:extLst>
        </xdr:cNvPr>
        <xdr:cNvSpPr/>
      </xdr:nvSpPr>
      <xdr:spPr>
        <a:xfrm>
          <a:off x="76201" y="3187700"/>
          <a:ext cx="263071" cy="263072"/>
        </a:xfrm>
        <a:prstGeom prst="roundRect">
          <a:avLst/>
        </a:prstGeom>
        <a:solidFill>
          <a:schemeClr val="dk1"/>
        </a:solidFill>
        <a:ln cap="flat" cmpd="sng" w="12700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r>
            <a:rPr b="1" lang="en-US" sz="1200"/>
            <a:t>4</a:t>
          </a:r>
        </a:p>
      </xdr:txBody>
    </xdr:sp>
    <xdr:clientData fLocksWithSheet="0"/>
  </xdr:oneCellAnchor>
  <xdr:oneCellAnchor>
    <xdr:from>
      <xdr:col>4</xdr:col>
      <xdr:colOff>171450</xdr:colOff>
      <xdr:row>0</xdr:row>
      <xdr:rowOff>161925</xdr:rowOff>
    </xdr:from>
    <xdr:ext cx="257175" cy="266700"/>
    <xdr:sp macro="" textlink="">
      <xdr:nvSpPr>
        <xdr:cNvPr id="7" name="Rectangle: Rounded Corners 6">
          <a:extLst>
            <a:ext uri="{FF2B5EF4-FFF2-40B4-BE49-F238E27FC236}"/>
          </a:extLst>
        </xdr:cNvPr>
        <xdr:cNvSpPr/>
      </xdr:nvSpPr>
      <xdr:spPr>
        <a:xfrm>
          <a:off x="3566887" y="165100"/>
          <a:ext cx="263071" cy="263072"/>
        </a:xfrm>
        <a:prstGeom prst="roundRect">
          <a:avLst/>
        </a:prstGeom>
        <a:solidFill>
          <a:schemeClr val="dk1"/>
        </a:solidFill>
        <a:ln cap="flat" cmpd="sng" w="12700" algn="ctr">
          <a:solidFill>
            <a:schemeClr val="dk1">
              <a:shade val="50000"/>
            </a:schemeClr>
          </a:solidFill>
          <a:prstDash val="solid"/>
          <a:miter lim="800000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r>
            <a:rPr b="1" lang="en-US" sz="1200"/>
            <a:t>5</a:t>
          </a:r>
        </a:p>
      </xdr:txBody>
    </xdr:sp>
    <xdr:clientData fLocksWithSheet="0"/>
  </xdr:oneCellAnchor>
  <xdr:oneCellAnchor>
    <xdr:from>
      <xdr:col>8</xdr:col>
      <xdr:colOff>209550</xdr:colOff>
      <xdr:row>14</xdr:row>
      <xdr:rowOff>123825</xdr:rowOff>
    </xdr:from>
    <xdr:ext cx="3695700" cy="1304925"/>
    <xdr:sp macro="" textlink="">
      <xdr:nvSpPr>
        <xdr:cNvPr id="8" name="TextBox 7">
          <a:extLst>
            <a:ext uri="{FF2B5EF4-FFF2-40B4-BE49-F238E27FC236}"/>
          </a:extLst>
        </xdr:cNvPr>
        <xdr:cNvSpPr txBox="1"/>
      </xdr:nvSpPr>
      <xdr:spPr>
        <a:xfrm>
          <a:off x="6829603" y="3031040"/>
          <a:ext cx="3713763" cy="1304709"/>
        </a:xfrm>
        <a:prstGeom prst="rect">
          <a:avLst/>
        </a:prstGeom>
        <a:solidFill>
          <a:schemeClr val="lt1"/>
        </a:solidFill>
        <a:ln cmpd="sng" w="9525">
          <a:solidFill>
            <a:schemeClr val="lt1">
              <a:shade val="50000"/>
            </a:schemeClr>
          </a:solidFill>
        </a:ln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dk1"/>
        </a:fontRef>
      </xdr:style>
      <xdr:txBody>
        <a:bodyPr anchor="t" rtlCol="0" horzOverflow="clip" wrap="square" vertOverflow="clip"/>
        <a:lstStyle/>
        <a:p>
          <a:r>
            <a:rPr lang="en-US" sz="1100"/>
            <a:t>INSTRUCTIUNI!</a:t>
          </a:r>
        </a:p>
        <a:p>
          <a:endParaRPr lang="en-US" sz="1100"/>
        </a:p>
        <a:p>
          <a:r>
            <a:rPr lang="en-US" sz="1100"/>
            <a:t>Fai</a:t>
          </a:r>
          <a:r>
            <a:rPr lang="en-US" sz="1100"/>
            <a:t> intai bugetul anual, apoi cel lunar ca sa iti poti identificare nevoile tale si cat te costa ele pe luna. </a:t>
          </a:r>
        </a:p>
        <a:p>
          <a:r>
            <a:rPr lang="en-US" sz="1100"/>
            <a:t>Abia dupa asta, cu valoarea lunara de acoperit a nevoilor (cel putin dar poti adauga si placerile, evident suma va creste) vei completa in ordinea 1,2,3,4,5 in celulele portocalii</a:t>
          </a:r>
          <a:endParaRPr lang="en-US"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30.13"/>
    <col customWidth="1" min="3" max="11" width="11.25"/>
  </cols>
  <sheetData>
    <row r="1" ht="15.0" customHeight="1"/>
    <row r="2">
      <c r="B2" s="1" t="s">
        <v>0</v>
      </c>
      <c r="C2" s="2" t="s">
        <v>1</v>
      </c>
      <c r="D2" s="3" t="s">
        <v>2</v>
      </c>
    </row>
    <row r="3">
      <c r="B3" s="4" t="s">
        <v>3</v>
      </c>
      <c r="C3" s="5">
        <v>65.0</v>
      </c>
      <c r="D3" s="6">
        <v>63.0</v>
      </c>
    </row>
    <row r="4">
      <c r="B4" s="4" t="s">
        <v>4</v>
      </c>
      <c r="C4" s="5">
        <v>72.0</v>
      </c>
      <c r="D4" s="6">
        <v>78.0</v>
      </c>
    </row>
    <row r="5">
      <c r="B5" s="7" t="s">
        <v>5</v>
      </c>
      <c r="C5" s="8" t="str">
        <f t="shared" ref="C5:D5" si="1">C4-C3</f>
        <v>7</v>
      </c>
      <c r="D5" s="9" t="str">
        <f t="shared" si="1"/>
        <v>15</v>
      </c>
    </row>
    <row r="7">
      <c r="B7" s="10"/>
      <c r="C7" s="11" t="s">
        <v>6</v>
      </c>
    </row>
    <row r="8">
      <c r="B8" s="12" t="s">
        <v>7</v>
      </c>
      <c r="C8" s="13">
        <v>90.0</v>
      </c>
    </row>
    <row r="9">
      <c r="B9" s="4" t="s">
        <v>8</v>
      </c>
      <c r="C9" s="14">
        <v>50.0</v>
      </c>
    </row>
    <row r="10">
      <c r="B10" s="4" t="s">
        <v>5</v>
      </c>
      <c r="C10" s="15" t="str">
        <f>C8-C9</f>
        <v>40</v>
      </c>
    </row>
    <row r="11">
      <c r="B11" s="4" t="s">
        <v>9</v>
      </c>
      <c r="C11" s="14">
        <v>37.0</v>
      </c>
    </row>
    <row r="12" ht="15.0" customHeight="1">
      <c r="B12" s="7" t="s">
        <v>10</v>
      </c>
      <c r="C12" s="16" t="str">
        <f>C9-C11</f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17.5"/>
    <col customWidth="1" min="3" max="3" width="11.0"/>
    <col customWidth="1" min="4" max="4" width="12.13"/>
    <col customWidth="1" min="5" max="5" width="2.75"/>
    <col customWidth="1" min="6" max="6" width="8.13"/>
    <col customWidth="1" min="7" max="7" width="17.63"/>
    <col customWidth="1" min="8" max="8" width="13.63"/>
    <col customWidth="1" min="9" max="9" width="10.13"/>
    <col customWidth="1" min="10" max="10" width="12.0"/>
    <col customWidth="1" min="11" max="11" width="1.0"/>
    <col customWidth="1" min="12" max="12" width="11.38"/>
    <col customWidth="1" min="13" max="13" width="0.88"/>
    <col customWidth="1" min="14" max="15" width="10.63"/>
  </cols>
  <sheetData>
    <row r="1" ht="15.0" customHeight="1"/>
    <row r="2">
      <c r="F2" s="10"/>
      <c r="G2" s="10"/>
      <c r="H2" s="10"/>
      <c r="I2" s="10"/>
      <c r="J2" s="10"/>
      <c r="K2" s="10"/>
      <c r="L2" s="17" t="s">
        <v>11</v>
      </c>
      <c r="N2" s="18" t="s">
        <v>12</v>
      </c>
      <c r="O2" s="19"/>
    </row>
    <row r="3" ht="33.0" customHeight="1">
      <c r="B3" s="20" t="s">
        <v>13</v>
      </c>
      <c r="C3" s="21"/>
      <c r="D3" s="22"/>
      <c r="F3" s="23" t="s">
        <v>14</v>
      </c>
      <c r="G3" s="24" t="s">
        <v>15</v>
      </c>
      <c r="H3" s="24" t="s">
        <v>16</v>
      </c>
      <c r="I3" s="24" t="s">
        <v>17</v>
      </c>
      <c r="J3" s="25" t="s">
        <v>18</v>
      </c>
      <c r="K3" s="10"/>
      <c r="L3" s="26" t="s">
        <v>19</v>
      </c>
      <c r="N3" s="27" t="s">
        <v>20</v>
      </c>
      <c r="O3" s="27" t="s">
        <v>21</v>
      </c>
    </row>
    <row r="4">
      <c r="B4" s="28" t="s">
        <v>22</v>
      </c>
      <c r="C4" s="29">
        <v>10000.0</v>
      </c>
      <c r="D4" s="30"/>
      <c r="F4" s="31">
        <v>1.0</v>
      </c>
      <c r="G4" s="32">
        <v>18500.0</v>
      </c>
      <c r="H4" s="33">
        <v>12000.0</v>
      </c>
      <c r="I4" s="34" t="str">
        <f t="shared" ref="I4:I6" si="1">G4-H4</f>
        <v>RON 6,500</v>
      </c>
      <c r="J4" s="35" t="str">
        <f t="shared" ref="J4:J6" si="2">I4/G4</f>
        <v>35%</v>
      </c>
      <c r="K4" s="10"/>
      <c r="L4" s="36" t="str">
        <f t="shared" ref="L4:L6" si="3">$H$11/I4</f>
        <v>  205 </v>
      </c>
      <c r="N4" s="37" t="str">
        <f t="shared" ref="N4:N6" si="4">-NPER($C$20/12,I4,$H$11,0)</f>
        <v>  125 </v>
      </c>
      <c r="O4" s="38" t="str">
        <f t="shared" ref="O4:O6" si="5">N4/12</f>
        <v>  10.4 </v>
      </c>
    </row>
    <row r="5">
      <c r="F5" s="31">
        <v>2.0</v>
      </c>
      <c r="G5" s="39">
        <v>20000.0</v>
      </c>
      <c r="H5" s="40">
        <v>15000.0</v>
      </c>
      <c r="I5" s="34" t="str">
        <f t="shared" si="1"/>
        <v>RON 5,000</v>
      </c>
      <c r="J5" s="35" t="str">
        <f t="shared" si="2"/>
        <v>25%</v>
      </c>
      <c r="K5" s="10"/>
      <c r="L5" s="36" t="str">
        <f t="shared" si="3"/>
        <v>  267 </v>
      </c>
      <c r="N5" s="37" t="str">
        <f t="shared" si="4"/>
        <v>  147 </v>
      </c>
      <c r="O5" s="38" t="str">
        <f t="shared" si="5"/>
        <v>  12.3 </v>
      </c>
    </row>
    <row r="6">
      <c r="B6" s="41" t="s">
        <v>23</v>
      </c>
      <c r="C6" s="42"/>
      <c r="D6" s="43"/>
      <c r="F6" s="44">
        <v>3.0</v>
      </c>
      <c r="G6" s="45">
        <v>15000.0</v>
      </c>
      <c r="H6" s="46">
        <v>11000.0</v>
      </c>
      <c r="I6" s="47" t="str">
        <f t="shared" si="1"/>
        <v>RON 4,000</v>
      </c>
      <c r="J6" s="48" t="str">
        <f t="shared" si="2"/>
        <v>27%</v>
      </c>
      <c r="K6" s="10"/>
      <c r="L6" s="49" t="str">
        <f t="shared" si="3"/>
        <v>  333 </v>
      </c>
      <c r="N6" s="37" t="str">
        <f t="shared" si="4"/>
        <v>  168 </v>
      </c>
      <c r="O6" s="38" t="str">
        <f t="shared" si="5"/>
        <v>  14.0 </v>
      </c>
    </row>
    <row r="7">
      <c r="B7" s="4" t="s">
        <v>24</v>
      </c>
      <c r="C7" s="50">
        <v>0.0</v>
      </c>
      <c r="D7" s="51" t="str">
        <f t="shared" ref="D7:D10" si="6">$C$4*C7</f>
        <v>  -   </v>
      </c>
      <c r="G7" s="52"/>
      <c r="H7" s="52"/>
      <c r="I7" s="53"/>
      <c r="J7" s="54"/>
      <c r="K7" s="10"/>
      <c r="L7" s="55"/>
      <c r="N7" s="55"/>
      <c r="O7" s="56"/>
    </row>
    <row r="8">
      <c r="B8" s="4" t="s">
        <v>25</v>
      </c>
      <c r="C8" s="50">
        <v>0.0</v>
      </c>
      <c r="D8" s="51" t="str">
        <f t="shared" si="6"/>
        <v>  -   </v>
      </c>
      <c r="G8" s="52"/>
      <c r="H8" s="52"/>
      <c r="I8" s="52"/>
      <c r="J8" s="54"/>
      <c r="K8" s="10"/>
      <c r="L8" s="55"/>
      <c r="N8" s="55"/>
      <c r="O8" s="56"/>
    </row>
    <row r="9">
      <c r="B9" s="4" t="s">
        <v>26</v>
      </c>
      <c r="C9" s="50">
        <v>0.0</v>
      </c>
      <c r="D9" s="51" t="str">
        <f t="shared" si="6"/>
        <v>  -   </v>
      </c>
      <c r="G9" s="57" t="s">
        <v>27</v>
      </c>
      <c r="H9" s="22"/>
      <c r="I9" s="58"/>
      <c r="J9" s="54"/>
      <c r="K9" s="54"/>
      <c r="L9" s="55"/>
      <c r="N9" s="55"/>
      <c r="O9" s="56"/>
    </row>
    <row r="10">
      <c r="B10" s="4" t="s">
        <v>28</v>
      </c>
      <c r="C10" s="50">
        <v>1.0</v>
      </c>
      <c r="D10" s="51" t="str">
        <f t="shared" si="6"/>
        <v>  10,000 </v>
      </c>
      <c r="G10" s="59" t="s">
        <v>29</v>
      </c>
      <c r="H10" s="60" t="str">
        <f>D10</f>
        <v>RON 10,000</v>
      </c>
      <c r="J10" s="54"/>
      <c r="K10" s="54"/>
      <c r="L10" s="55"/>
      <c r="N10" s="55"/>
      <c r="O10" s="56"/>
    </row>
    <row r="11">
      <c r="B11" s="28" t="s">
        <v>30</v>
      </c>
      <c r="C11" s="61" t="str">
        <f t="shared" ref="C11:D11" si="7">SUM(C7:C10)</f>
        <v>100%</v>
      </c>
      <c r="D11" s="62" t="str">
        <f t="shared" si="7"/>
        <v>  10,000 </v>
      </c>
      <c r="G11" s="7" t="s">
        <v>31</v>
      </c>
      <c r="H11" s="63" t="str">
        <f>H10*12/C20</f>
        <v>RON 1,333,333</v>
      </c>
      <c r="I11" s="64" t="s">
        <v>32</v>
      </c>
      <c r="J11" s="54"/>
      <c r="K11" s="54"/>
      <c r="L11" s="55"/>
      <c r="N11" s="55"/>
      <c r="O11" s="56"/>
    </row>
    <row r="12" ht="4.5" customHeight="1">
      <c r="H12" s="65"/>
      <c r="J12" s="54"/>
      <c r="K12" s="54"/>
      <c r="L12" s="55"/>
      <c r="N12" s="55"/>
      <c r="O12" s="56"/>
    </row>
    <row r="13">
      <c r="B13" s="66" t="s">
        <v>33</v>
      </c>
      <c r="C13" s="21"/>
      <c r="D13" s="22"/>
      <c r="E13" s="10"/>
      <c r="G13" s="67" t="s">
        <v>34</v>
      </c>
      <c r="H13" s="68" t="str">
        <f>H11/H14</f>
        <v>Loading...</v>
      </c>
      <c r="J13" s="54"/>
      <c r="K13" s="54"/>
      <c r="L13" s="55"/>
    </row>
    <row r="14">
      <c r="B14" s="69" t="s">
        <v>35</v>
      </c>
      <c r="C14" s="70">
        <v>20.0</v>
      </c>
      <c r="D14" s="71" t="str">
        <f>C14*C4</f>
        <v>RON 200,000</v>
      </c>
      <c r="F14" s="10">
        <v>1.0</v>
      </c>
      <c r="G14" s="7" t="s">
        <v>36</v>
      </c>
      <c r="H14" s="72" t="str">
        <f>IFERROR(__xludf.DUMMYFUNCTION("B26 * GOOGLEFINANCE(""CURRENCY:EURRON"")"),"Loading...")</f>
        <v>Loading...</v>
      </c>
      <c r="J14" s="54"/>
      <c r="K14" s="54"/>
      <c r="L14" s="55"/>
    </row>
    <row r="15">
      <c r="B15" s="73" t="s">
        <v>37</v>
      </c>
      <c r="C15" s="74">
        <v>0.06</v>
      </c>
      <c r="D15" s="75" t="str">
        <f>D14*C15</f>
        <v>RON 12,000</v>
      </c>
      <c r="E15" s="10"/>
      <c r="J15" s="54"/>
      <c r="K15" s="54"/>
      <c r="L15" s="55"/>
    </row>
    <row r="16">
      <c r="J16" s="54"/>
      <c r="K16" s="54"/>
      <c r="L16" s="55"/>
    </row>
    <row r="17">
      <c r="B17" s="66" t="s">
        <v>38</v>
      </c>
      <c r="C17" s="22"/>
      <c r="J17" s="54"/>
      <c r="K17" s="54"/>
    </row>
    <row r="18">
      <c r="B18" s="76" t="s">
        <v>39</v>
      </c>
      <c r="C18" s="77">
        <v>0.12</v>
      </c>
    </row>
    <row r="19">
      <c r="B19" s="78" t="s">
        <v>40</v>
      </c>
      <c r="C19" s="79">
        <v>0.03</v>
      </c>
    </row>
    <row r="20">
      <c r="B20" s="28" t="s">
        <v>41</v>
      </c>
      <c r="C20" s="80" t="str">
        <f>C18-C19</f>
        <v>9%</v>
      </c>
    </row>
    <row r="21" ht="15.75" customHeight="1"/>
    <row r="22" ht="33.75" customHeight="1"/>
    <row r="23" ht="15.75" customHeight="1"/>
    <row r="24" ht="15.75" customHeight="1"/>
    <row r="25" ht="6.0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">
    <mergeCell ref="N2:O2"/>
    <mergeCell ref="B3:D3"/>
    <mergeCell ref="B13:D13"/>
    <mergeCell ref="B17:C17"/>
    <mergeCell ref="G9:H9"/>
  </mergeCells>
  <printOptions/>
  <pageMargins bottom="0.75" footer="0.0" header="0.0" left="0.7" right="0.7" top="0.75"/>
  <pageSetup orientation="landscape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Demografic</vt:lpstr>
      <vt:lpstr>Plan retragere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2025-10-24T17:41:25Z</dcterms:created>
  <dc:creator>cornel@aevr.ro</dc:creator>
  <cp:lastModifiedBy>Mixy</cp:lastModifiedBy>
  <dcterms:modified xsi:type="dcterms:W3CDTF">2026-03-19T18:03:31Z</dcterms:modified>
</cp:coreProperties>
</file>